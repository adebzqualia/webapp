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KPIs" sheetId="2" state="visible" r:id="rId2"/>
    <sheet xmlns:r="http://schemas.openxmlformats.org/officeDocument/2006/relationships" name="Operations" sheetId="3" state="visible" r:id="rId3"/>
  </sheets>
  <definedNames>
    <definedName name="_xlnm._FilterDatabase" localSheetId="2" hidden="1">'Operations'!$B$6:$F$9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B57"/>
      <sz val="16"/>
    </font>
    <font>
      <b val="1"/>
      <color rgb="00173B57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venueBudget" displayName="RevenueBudget" ref="B7:G10" headerRowCount="1">
  <autoFilter ref="B7:G10"/>
  <tableColumns count="6">
    <tableColumn id="2" name="Business unit"/>
    <tableColumn id="3" name="Metric"/>
    <tableColumn id="4" name="Budget"/>
    <tableColumn id="5" name="Actual"/>
    <tableColumn id="6" name="Variance"/>
    <tableColumn id="7" name="Variance %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CostBase" displayName="CostBase" ref="B16:E19" headerRowCount="1">
  <autoFilter ref="B16:E19"/>
  <tableColumns count="4">
    <tableColumn id="2" name="Cost center"/>
    <tableColumn id="3" name="Owner"/>
    <tableColumn id="4" name="Budget"/>
    <tableColumn id="5" name="Foreca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>
      <c r="B2" s="1" t="inlineStr">
        <is>
          <t>POPS — Planning &amp; Operational Performance Summary</t>
        </is>
      </c>
    </row>
    <row r="3"/>
    <row r="5">
      <c r="B5" t="inlineStr">
        <is>
          <t>Country</t>
        </is>
      </c>
      <c r="C5" t="inlineStr">
        <is>
          <t>&lt;to be completed&gt;</t>
        </is>
      </c>
    </row>
    <row r="7">
      <c r="B7" t="inlineStr">
        <is>
          <t>Reporting period</t>
        </is>
      </c>
      <c r="C7" t="inlineStr">
        <is>
          <t>FY 2026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B2" s="2" t="inlineStr">
        <is>
          <t>Financial performance</t>
        </is>
      </c>
    </row>
    <row r="3"/>
    <row r="6">
      <c r="B6" s="3" t="inlineStr">
        <is>
          <t>Revenue budget</t>
        </is>
      </c>
    </row>
    <row r="7">
      <c r="B7" s="4" t="inlineStr">
        <is>
          <t>Business unit</t>
        </is>
      </c>
      <c r="C7" s="4" t="inlineStr">
        <is>
          <t>Metric</t>
        </is>
      </c>
      <c r="D7" s="4" t="inlineStr">
        <is>
          <t>Budget</t>
        </is>
      </c>
      <c r="E7" s="4" t="inlineStr">
        <is>
          <t>Actual</t>
        </is>
      </c>
      <c r="F7" s="4" t="inlineStr">
        <is>
          <t>Variance</t>
        </is>
      </c>
      <c r="G7" s="4" t="inlineStr">
        <is>
          <t>Variance %</t>
        </is>
      </c>
    </row>
    <row r="8">
      <c r="B8" t="inlineStr">
        <is>
          <t>Retail</t>
        </is>
      </c>
      <c r="C8" t="inlineStr">
        <is>
          <t>Revenue</t>
        </is>
      </c>
      <c r="D8" t="n">
        <v>1200000</v>
      </c>
      <c r="E8" t="n">
        <v>1180000</v>
      </c>
      <c r="F8">
        <f>E8-D8</f>
        <v/>
      </c>
      <c r="G8">
        <f>IFERROR(F8/D8,0)</f>
        <v/>
      </c>
    </row>
    <row r="9">
      <c r="B9" t="inlineStr">
        <is>
          <t>Corporate</t>
        </is>
      </c>
      <c r="C9" t="inlineStr">
        <is>
          <t>Revenue</t>
        </is>
      </c>
      <c r="D9" t="n">
        <v>900000</v>
      </c>
      <c r="E9" t="n">
        <v>930000</v>
      </c>
      <c r="F9">
        <f>E9-D9</f>
        <v/>
      </c>
      <c r="G9">
        <f>IFERROR(F9/D9,0)</f>
        <v/>
      </c>
    </row>
    <row r="10">
      <c r="B10" t="inlineStr">
        <is>
          <t>Digital</t>
        </is>
      </c>
      <c r="C10" t="inlineStr">
        <is>
          <t>Revenue</t>
        </is>
      </c>
      <c r="D10" t="n">
        <v>620000</v>
      </c>
      <c r="E10" t="n">
        <v>665000</v>
      </c>
      <c r="F10">
        <f>E10-D10</f>
        <v/>
      </c>
      <c r="G10">
        <f>IFERROR(F10/D10,0)</f>
        <v/>
      </c>
    </row>
    <row r="11">
      <c r="B11" s="5" t="inlineStr">
        <is>
          <t>TOTAL</t>
        </is>
      </c>
      <c r="C11" s="5" t="n"/>
      <c r="D11" s="5">
        <f>SUM(D8:D10)</f>
        <v/>
      </c>
      <c r="E11" s="5">
        <f>SUM(E8:E10)</f>
        <v/>
      </c>
      <c r="F11" s="5">
        <f>E11-D11</f>
        <v/>
      </c>
      <c r="G11" s="5">
        <f>IFERROR(F11/D11,0)</f>
        <v/>
      </c>
    </row>
    <row r="15">
      <c r="B15" s="3" t="inlineStr">
        <is>
          <t>Cost base</t>
        </is>
      </c>
    </row>
    <row r="16">
      <c r="B16" s="4" t="inlineStr">
        <is>
          <t>Cost center</t>
        </is>
      </c>
      <c r="C16" s="4" t="inlineStr">
        <is>
          <t>Owner</t>
        </is>
      </c>
      <c r="D16" s="4" t="inlineStr">
        <is>
          <t>Budget</t>
        </is>
      </c>
      <c r="E16" s="4" t="inlineStr">
        <is>
          <t>Forecast</t>
        </is>
      </c>
    </row>
    <row r="17">
      <c r="B17" t="inlineStr">
        <is>
          <t>Technology</t>
        </is>
      </c>
      <c r="C17" t="inlineStr">
        <is>
          <t>Alex Martin</t>
        </is>
      </c>
      <c r="D17" t="n">
        <v>420000</v>
      </c>
      <c r="E17" t="n">
        <v>435000</v>
      </c>
    </row>
    <row r="18">
      <c r="B18" t="inlineStr">
        <is>
          <t>Operations</t>
        </is>
      </c>
      <c r="C18" t="inlineStr">
        <is>
          <t>Samira Diallo</t>
        </is>
      </c>
      <c r="D18" t="n">
        <v>310000</v>
      </c>
      <c r="E18" t="n">
        <v>305000</v>
      </c>
    </row>
    <row r="19">
      <c r="B19" t="inlineStr">
        <is>
          <t>Marketing</t>
        </is>
      </c>
      <c r="C19" t="inlineStr">
        <is>
          <t>Emma Bernard</t>
        </is>
      </c>
      <c r="D19" t="n">
        <v>265000</v>
      </c>
      <c r="E19" t="n">
        <v>280000</v>
      </c>
    </row>
  </sheetData>
  <mergeCells count="1">
    <mergeCell ref="B2:G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2" t="inlineStr">
        <is>
          <t>Operational indicators</t>
        </is>
      </c>
    </row>
    <row r="3"/>
    <row r="6">
      <c r="B6" s="4" t="inlineStr">
        <is>
          <t>Site</t>
        </is>
      </c>
      <c r="C6" s="4" t="inlineStr">
        <is>
          <t>Orders</t>
        </is>
      </c>
      <c r="D6" s="4" t="inlineStr">
        <is>
          <t>On time</t>
        </is>
      </c>
      <c r="E6" s="4" t="inlineStr">
        <is>
          <t>Returns</t>
        </is>
      </c>
      <c r="F6" s="4" t="inlineStr">
        <is>
          <t>Service level</t>
        </is>
      </c>
    </row>
    <row r="7">
      <c r="B7" t="inlineStr">
        <is>
          <t>North</t>
        </is>
      </c>
      <c r="C7" t="n">
        <v>12500</v>
      </c>
      <c r="D7" t="n">
        <v>12100</v>
      </c>
      <c r="E7" t="n">
        <v>210</v>
      </c>
      <c r="F7">
        <f>IFERROR(D7/C7,0)</f>
        <v/>
      </c>
    </row>
    <row r="8">
      <c r="B8" t="inlineStr">
        <is>
          <t>South</t>
        </is>
      </c>
      <c r="C8" t="n">
        <v>10100</v>
      </c>
      <c r="D8" t="n">
        <v>9720</v>
      </c>
      <c r="E8" t="n">
        <v>185</v>
      </c>
      <c r="F8">
        <f>IFERROR(D8/C8,0)</f>
        <v/>
      </c>
    </row>
    <row r="9">
      <c r="B9" t="inlineStr">
        <is>
          <t>West</t>
        </is>
      </c>
      <c r="C9" t="n">
        <v>8900</v>
      </c>
      <c r="D9" t="n">
        <v>8610</v>
      </c>
      <c r="E9" t="n">
        <v>142</v>
      </c>
      <c r="F9">
        <f>IFERROR(D9/C9,0)</f>
        <v/>
      </c>
    </row>
  </sheetData>
  <autoFilter ref="B6:F9"/>
  <mergeCells count="1">
    <mergeCell ref="B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2026-07-15T08:22:36Z</dcterms:created>
  <dcterms:modified xmlns:dcterms="http://purl.org/dc/terms/" xmlns:xsi="http://www.w3.org/2001/XMLSchema-instance" xsi:type="dcterms:W3CDTF">2026-07-15T08:22:36Z</dcterms:modified>
</cp:coreProperties>
</file>